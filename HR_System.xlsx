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юди" sheetId="1" state="visible" r:id="rId1"/>
    <sheet xmlns:r="http://schemas.openxmlformats.org/officeDocument/2006/relationships" name="Історія" sheetId="2" state="visible" r:id="rId2"/>
    <sheet xmlns:r="http://schemas.openxmlformats.org/officeDocument/2006/relationships" name="Історія ЗП" sheetId="3" state="visible" r:id="rId3"/>
    <sheet xmlns:r="http://schemas.openxmlformats.org/officeDocument/2006/relationships" name="Retention" sheetId="4" state="visible" r:id="rId4"/>
    <sheet xmlns:r="http://schemas.openxmlformats.org/officeDocument/2006/relationships" name="Вакансії" sheetId="5" state="visible" r:id="rId5"/>
    <sheet xmlns:r="http://schemas.openxmlformats.org/officeDocument/2006/relationships" name="Дашбор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ID</t>
        </is>
      </c>
      <c r="B1" s="1" t="inlineStr">
        <is>
          <t>ПІБ</t>
        </is>
      </c>
      <c r="C1" s="1" t="inlineStr">
        <is>
          <t>Email</t>
        </is>
      </c>
      <c r="D1" s="1" t="inlineStr">
        <is>
          <t>Телефон</t>
        </is>
      </c>
      <c r="E1" s="1" t="inlineStr">
        <is>
          <t>Дата народження</t>
        </is>
      </c>
      <c r="F1" s="1" t="inlineStr">
        <is>
          <t>Посада</t>
        </is>
      </c>
      <c r="G1" s="1" t="inlineStr">
        <is>
          <t>Відділ</t>
        </is>
      </c>
      <c r="H1" s="1" t="inlineStr">
        <is>
          <t>Керівник</t>
        </is>
      </c>
      <c r="I1" s="1" t="inlineStr">
        <is>
          <t>Дата початку</t>
        </is>
      </c>
      <c r="J1" s="1" t="inlineStr">
        <is>
          <t>Дата завершення випробування</t>
        </is>
      </c>
      <c r="K1" s="1" t="inlineStr">
        <is>
          <t>Статус</t>
        </is>
      </c>
      <c r="L1" s="1" t="inlineStr">
        <is>
          <t>Дата звільнення</t>
        </is>
      </c>
      <c r="M1" s="1" t="inlineStr">
        <is>
          <t>Поточна ЗП</t>
        </is>
      </c>
      <c r="N1" s="1" t="inlineStr">
        <is>
          <t>КПІ %</t>
        </is>
      </c>
      <c r="O1" s="1" t="inlineStr">
        <is>
          <t>Performance (1-5)</t>
        </is>
      </c>
      <c r="P1" s="1" t="inlineStr">
        <is>
          <t>Impact (1-5)</t>
        </is>
      </c>
      <c r="Q1" s="1" t="inlineStr">
        <is>
          <t>Ризик звільнення</t>
        </is>
      </c>
      <c r="R1" s="1" t="inlineStr">
        <is>
          <t>Потенційна заміна</t>
        </is>
      </c>
      <c r="S1" s="1" t="inlineStr">
        <is>
          <t>Примітки</t>
        </is>
      </c>
    </row>
    <row r="2">
      <c r="A2" t="n">
        <v>1</v>
      </c>
      <c r="B2" t="inlineStr">
        <is>
          <t>Іван Гнатюк</t>
        </is>
      </c>
      <c r="C2" t="inlineStr">
        <is>
          <t>ivan@company.com</t>
        </is>
      </c>
      <c r="D2" t="inlineStr">
        <is>
          <t>+380671234567</t>
        </is>
      </c>
      <c r="E2" t="inlineStr">
        <is>
          <t>1985-03-15</t>
        </is>
      </c>
      <c r="F2" t="inlineStr">
        <is>
          <t>Tech Lead</t>
        </is>
      </c>
      <c r="G2" t="inlineStr">
        <is>
          <t>Tech</t>
        </is>
      </c>
      <c r="H2" t="inlineStr"/>
      <c r="I2" t="inlineStr">
        <is>
          <t>2021-06-03</t>
        </is>
      </c>
      <c r="J2" t="inlineStr">
        <is>
          <t>2021-07-03</t>
        </is>
      </c>
      <c r="K2" t="inlineStr">
        <is>
          <t>Працює</t>
        </is>
      </c>
      <c r="L2" t="inlineStr"/>
      <c r="M2" t="n">
        <v>100000</v>
      </c>
      <c r="N2" t="n">
        <v>20</v>
      </c>
      <c r="O2" t="n">
        <v>5</v>
      </c>
      <c r="P2" t="n">
        <v>5</v>
      </c>
      <c r="Q2" t="inlineStr">
        <is>
          <t>Low</t>
        </is>
      </c>
      <c r="R2" t="inlineStr">
        <is>
          <t>No</t>
        </is>
      </c>
      <c r="S2" t="inlineStr"/>
    </row>
    <row r="3">
      <c r="A3" t="n">
        <v>2</v>
      </c>
      <c r="B3" t="inlineStr">
        <is>
          <t>Аліна Шевченко</t>
        </is>
      </c>
      <c r="C3" t="inlineStr">
        <is>
          <t>alina@company.com</t>
        </is>
      </c>
      <c r="D3" t="inlineStr">
        <is>
          <t>+380671234568</t>
        </is>
      </c>
      <c r="E3" t="inlineStr">
        <is>
          <t>1990-07-22</t>
        </is>
      </c>
      <c r="F3" t="inlineStr">
        <is>
          <t>Product Manager</t>
        </is>
      </c>
      <c r="G3" t="inlineStr">
        <is>
          <t>Product</t>
        </is>
      </c>
      <c r="H3" t="inlineStr">
        <is>
          <t>Іван Гнатюк</t>
        </is>
      </c>
      <c r="I3" t="inlineStr">
        <is>
          <t>2023-06-10</t>
        </is>
      </c>
      <c r="J3" t="inlineStr">
        <is>
          <t>2023-07-10</t>
        </is>
      </c>
      <c r="K3" t="inlineStr">
        <is>
          <t>Працює</t>
        </is>
      </c>
      <c r="L3" t="inlineStr"/>
      <c r="M3" t="n">
        <v>85000</v>
      </c>
      <c r="N3" t="n">
        <v>15</v>
      </c>
      <c r="O3" t="n">
        <v>4</v>
      </c>
      <c r="P3" t="n">
        <v>4</v>
      </c>
      <c r="Q3" t="inlineStr">
        <is>
          <t>Low</t>
        </is>
      </c>
      <c r="R3" t="inlineStr">
        <is>
          <t>No</t>
        </is>
      </c>
      <c r="S3" t="inlineStr"/>
    </row>
    <row r="4">
      <c r="A4" t="n">
        <v>3</v>
      </c>
      <c r="B4" t="inlineStr">
        <is>
          <t>Наталя Бондар</t>
        </is>
      </c>
      <c r="C4" t="inlineStr">
        <is>
          <t>natalia@company.com</t>
        </is>
      </c>
      <c r="D4" t="inlineStr">
        <is>
          <t>+380671234569</t>
        </is>
      </c>
      <c r="E4" t="inlineStr">
        <is>
          <t>1992-11-08</t>
        </is>
      </c>
      <c r="F4" t="inlineStr">
        <is>
          <t>HR Lead</t>
        </is>
      </c>
      <c r="G4" t="inlineStr">
        <is>
          <t>HR</t>
        </is>
      </c>
      <c r="H4" t="inlineStr"/>
      <c r="I4" t="inlineStr">
        <is>
          <t>2025-06-15</t>
        </is>
      </c>
      <c r="J4" t="inlineStr">
        <is>
          <t>2025-07-15</t>
        </is>
      </c>
      <c r="K4" t="inlineStr">
        <is>
          <t>Працює</t>
        </is>
      </c>
      <c r="L4" t="inlineStr"/>
      <c r="M4" t="n">
        <v>55000</v>
      </c>
      <c r="N4" t="n">
        <v>10</v>
      </c>
      <c r="O4" t="n">
        <v>4</v>
      </c>
      <c r="P4" t="n">
        <v>3</v>
      </c>
      <c r="Q4" t="inlineStr">
        <is>
          <t>Medium</t>
        </is>
      </c>
      <c r="R4" t="inlineStr">
        <is>
          <t>No</t>
        </is>
      </c>
      <c r="S4" t="inlineStr">
        <is>
          <t>Нова у компанії</t>
        </is>
      </c>
    </row>
    <row r="5">
      <c r="A5" t="n">
        <v>4</v>
      </c>
      <c r="B5" t="inlineStr">
        <is>
          <t>Олена Приходько</t>
        </is>
      </c>
      <c r="C5" t="inlineStr">
        <is>
          <t>olena@company.com</t>
        </is>
      </c>
      <c r="D5" t="inlineStr">
        <is>
          <t>+380671234570</t>
        </is>
      </c>
      <c r="E5" t="inlineStr">
        <is>
          <t>2000-05-12</t>
        </is>
      </c>
      <c r="F5" t="inlineStr">
        <is>
          <t>Junior Designer</t>
        </is>
      </c>
      <c r="G5" t="inlineStr">
        <is>
          <t>Design</t>
        </is>
      </c>
      <c r="H5" t="inlineStr">
        <is>
          <t>Аліна Шевченко</t>
        </is>
      </c>
      <c r="I5" t="inlineStr">
        <is>
          <t>2025-12-27</t>
        </is>
      </c>
      <c r="J5" t="inlineStr">
        <is>
          <t>2026-06-27</t>
        </is>
      </c>
      <c r="K5" t="inlineStr">
        <is>
          <t>Випробуванн</t>
        </is>
      </c>
      <c r="L5" t="inlineStr"/>
      <c r="M5" t="n">
        <v>28000</v>
      </c>
      <c r="N5" t="n">
        <v>0</v>
      </c>
      <c r="O5" t="n">
        <v>0</v>
      </c>
      <c r="P5" t="n">
        <v>0</v>
      </c>
      <c r="Q5" t="inlineStr">
        <is>
          <t>High</t>
        </is>
      </c>
      <c r="R5" t="inlineStr">
        <is>
          <t>Yes</t>
        </is>
      </c>
      <c r="S5" t="inlineStr">
        <is>
          <t>Завершує випробув</t>
        </is>
      </c>
    </row>
    <row r="6">
      <c r="A6" t="n">
        <v>5</v>
      </c>
      <c r="B6" t="inlineStr">
        <is>
          <t>Микита Сало</t>
        </is>
      </c>
      <c r="C6" t="inlineStr">
        <is>
          <t>mykyta@company.com</t>
        </is>
      </c>
      <c r="D6" t="inlineStr">
        <is>
          <t>+380671234571</t>
        </is>
      </c>
      <c r="E6" t="inlineStr">
        <is>
          <t>1998-01-30</t>
        </is>
      </c>
      <c r="F6" t="inlineStr">
        <is>
          <t>Backend Dev</t>
        </is>
      </c>
      <c r="G6" t="inlineStr">
        <is>
          <t>Tech</t>
        </is>
      </c>
      <c r="H6" t="inlineStr">
        <is>
          <t>Іван Гнатюк</t>
        </is>
      </c>
      <c r="I6" t="inlineStr">
        <is>
          <t>2026-01-09</t>
        </is>
      </c>
      <c r="J6" t="inlineStr">
        <is>
          <t>2026-07-09</t>
        </is>
      </c>
      <c r="K6" t="inlineStr">
        <is>
          <t>Випробуванн</t>
        </is>
      </c>
      <c r="L6" t="inlineStr"/>
      <c r="M6" t="n">
        <v>20000</v>
      </c>
      <c r="N6" t="n">
        <v>0</v>
      </c>
      <c r="O6" t="n">
        <v>0</v>
      </c>
      <c r="P6" t="n">
        <v>0</v>
      </c>
      <c r="Q6" t="inlineStr">
        <is>
          <t>Medium</t>
        </is>
      </c>
      <c r="R6" t="inlineStr">
        <is>
          <t>Yes</t>
        </is>
      </c>
      <c r="S6" t="inlineStr"/>
    </row>
    <row r="7">
      <c r="A7" t="n">
        <v>6</v>
      </c>
      <c r="B7" t="inlineStr">
        <is>
          <t>Дар'я Коваль</t>
        </is>
      </c>
      <c r="C7" t="inlineStr">
        <is>
          <t>darya@company.com</t>
        </is>
      </c>
      <c r="D7" t="inlineStr">
        <is>
          <t>+380671234572</t>
        </is>
      </c>
      <c r="E7" t="inlineStr">
        <is>
          <t>1997-08-19</t>
        </is>
      </c>
      <c r="F7" t="inlineStr">
        <is>
          <t>QA Engineer</t>
        </is>
      </c>
      <c r="G7" t="inlineStr">
        <is>
          <t>QA</t>
        </is>
      </c>
      <c r="H7" t="inlineStr">
        <is>
          <t>Богдан Лук'яненко</t>
        </is>
      </c>
      <c r="I7" t="inlineStr">
        <is>
          <t>2026-02-12</t>
        </is>
      </c>
      <c r="J7" t="inlineStr">
        <is>
          <t>2026-08-12</t>
        </is>
      </c>
      <c r="K7" t="inlineStr">
        <is>
          <t>Випробуванн</t>
        </is>
      </c>
      <c r="L7" t="inlineStr"/>
      <c r="M7" t="n">
        <v>18000</v>
      </c>
      <c r="N7" t="n">
        <v>0</v>
      </c>
      <c r="O7" t="n">
        <v>0</v>
      </c>
      <c r="P7" t="n">
        <v>0</v>
      </c>
      <c r="Q7" t="inlineStr">
        <is>
          <t>Medium</t>
        </is>
      </c>
      <c r="R7" t="inlineStr">
        <is>
          <t>Yes</t>
        </is>
      </c>
      <c r="S7" t="inlineStr"/>
    </row>
    <row r="8">
      <c r="A8" t="n">
        <v>7</v>
      </c>
      <c r="B8" t="inlineStr">
        <is>
          <t>Денис Яременко</t>
        </is>
      </c>
      <c r="C8" t="inlineStr">
        <is>
          <t>denys@company.com</t>
        </is>
      </c>
      <c r="D8" t="inlineStr">
        <is>
          <t>+380671234573</t>
        </is>
      </c>
      <c r="E8" t="inlineStr">
        <is>
          <t>1989-04-25</t>
        </is>
      </c>
      <c r="F8" t="inlineStr">
        <is>
          <t>DevOps Engineer</t>
        </is>
      </c>
      <c r="G8" t="inlineStr">
        <is>
          <t>Tech</t>
        </is>
      </c>
      <c r="H8" t="inlineStr">
        <is>
          <t>Іван Гнатюк</t>
        </is>
      </c>
      <c r="I8" t="inlineStr">
        <is>
          <t>2026-04-05</t>
        </is>
      </c>
      <c r="J8" t="inlineStr">
        <is>
          <t>2026-05-05</t>
        </is>
      </c>
      <c r="K8" t="inlineStr">
        <is>
          <t>Працює</t>
        </is>
      </c>
      <c r="L8" t="inlineStr"/>
      <c r="M8" t="n">
        <v>55000</v>
      </c>
      <c r="N8" t="n">
        <v>5</v>
      </c>
      <c r="O8" t="n">
        <v>3</v>
      </c>
      <c r="P8" t="n">
        <v>3</v>
      </c>
      <c r="Q8" t="inlineStr">
        <is>
          <t>Low</t>
        </is>
      </c>
      <c r="R8" t="inlineStr">
        <is>
          <t>No</t>
        </is>
      </c>
      <c r="S8" t="inlineStr"/>
    </row>
    <row r="9">
      <c r="A9" t="n">
        <v>8</v>
      </c>
      <c r="B9" t="inlineStr">
        <is>
          <t>Юлія Савченко</t>
        </is>
      </c>
      <c r="C9" t="inlineStr">
        <is>
          <t>julia@company.com</t>
        </is>
      </c>
      <c r="D9" t="inlineStr">
        <is>
          <t>+380671234574</t>
        </is>
      </c>
      <c r="E9" t="inlineStr">
        <is>
          <t>1995-09-10</t>
        </is>
      </c>
      <c r="F9" t="inlineStr">
        <is>
          <t>Senior UX Designer</t>
        </is>
      </c>
      <c r="G9" t="inlineStr">
        <is>
          <t>Design</t>
        </is>
      </c>
      <c r="H9" t="inlineStr">
        <is>
          <t>Аліна Шевченко</t>
        </is>
      </c>
      <c r="I9" t="inlineStr">
        <is>
          <t>2026-06-02</t>
        </is>
      </c>
      <c r="J9" t="inlineStr">
        <is>
          <t>2026-07-02</t>
        </is>
      </c>
      <c r="K9" t="inlineStr">
        <is>
          <t>Працює</t>
        </is>
      </c>
      <c r="L9" t="inlineStr"/>
      <c r="M9" t="n">
        <v>75000</v>
      </c>
      <c r="N9" t="n">
        <v>12</v>
      </c>
      <c r="O9" t="n">
        <v>4</v>
      </c>
      <c r="P9" t="n">
        <v>4</v>
      </c>
      <c r="Q9" t="inlineStr">
        <is>
          <t>Low</t>
        </is>
      </c>
      <c r="R9" t="inlineStr">
        <is>
          <t>No</t>
        </is>
      </c>
      <c r="S9" t="inlineStr"/>
    </row>
    <row r="10">
      <c r="A10" t="n">
        <v>9</v>
      </c>
      <c r="B10" t="inlineStr">
        <is>
          <t>Катерина Ліщук</t>
        </is>
      </c>
      <c r="C10" t="inlineStr">
        <is>
          <t>kateryna@company.com</t>
        </is>
      </c>
      <c r="D10" t="inlineStr">
        <is>
          <t>+380671234575</t>
        </is>
      </c>
      <c r="E10" t="inlineStr">
        <is>
          <t>1994-12-03</t>
        </is>
      </c>
      <c r="F10" t="inlineStr">
        <is>
          <t>Middle Backend</t>
        </is>
      </c>
      <c r="G10" t="inlineStr">
        <is>
          <t>Tech</t>
        </is>
      </c>
      <c r="H10" t="inlineStr">
        <is>
          <t>Іван Гнатюк</t>
        </is>
      </c>
      <c r="I10" t="inlineStr">
        <is>
          <t>2023-03-01</t>
        </is>
      </c>
      <c r="J10" t="inlineStr">
        <is>
          <t>2023-04-01</t>
        </is>
      </c>
      <c r="K10" t="inlineStr">
        <is>
          <t>Працює</t>
        </is>
      </c>
      <c r="L10" t="inlineStr"/>
      <c r="M10" t="n">
        <v>65000</v>
      </c>
      <c r="N10" t="n">
        <v>15</v>
      </c>
      <c r="O10" t="n">
        <v>4</v>
      </c>
      <c r="P10" t="n">
        <v>4</v>
      </c>
      <c r="Q10" t="inlineStr">
        <is>
          <t>Low</t>
        </is>
      </c>
      <c r="R10" t="inlineStr">
        <is>
          <t>No</t>
        </is>
      </c>
      <c r="S10" t="inlineStr"/>
    </row>
    <row r="11">
      <c r="A11" t="n">
        <v>10</v>
      </c>
      <c r="B11" t="inlineStr">
        <is>
          <t>Богдан Лук'яненко</t>
        </is>
      </c>
      <c r="C11" t="inlineStr">
        <is>
          <t>bogdan@company.com</t>
        </is>
      </c>
      <c r="D11" t="inlineStr">
        <is>
          <t>+380671234576</t>
        </is>
      </c>
      <c r="E11" t="inlineStr">
        <is>
          <t>1986-06-18</t>
        </is>
      </c>
      <c r="F11" t="inlineStr">
        <is>
          <t>Lead QA</t>
        </is>
      </c>
      <c r="G11" t="inlineStr">
        <is>
          <t>QA</t>
        </is>
      </c>
      <c r="H11" t="inlineStr"/>
      <c r="I11" t="inlineStr">
        <is>
          <t>2020-10-01</t>
        </is>
      </c>
      <c r="J11" t="inlineStr">
        <is>
          <t>2020-11-01</t>
        </is>
      </c>
      <c r="K11" t="inlineStr">
        <is>
          <t>Працює</t>
        </is>
      </c>
      <c r="L11" t="inlineStr"/>
      <c r="M11" t="n">
        <v>70000</v>
      </c>
      <c r="N11" t="n">
        <v>15</v>
      </c>
      <c r="O11" t="n">
        <v>5</v>
      </c>
      <c r="P11" t="n">
        <v>4</v>
      </c>
      <c r="Q11" t="inlineStr">
        <is>
          <t>Low</t>
        </is>
      </c>
      <c r="R11" t="inlineStr">
        <is>
          <t>No</t>
        </is>
      </c>
      <c r="S11" t="inlineStr"/>
    </row>
    <row r="12">
      <c r="A12" t="n">
        <v>11</v>
      </c>
      <c r="B12" t="inlineStr">
        <is>
          <t>Сергій Ткач</t>
        </is>
      </c>
      <c r="C12" t="inlineStr">
        <is>
          <t>sergiy@company.com</t>
        </is>
      </c>
      <c r="D12" t="inlineStr">
        <is>
          <t>+380671234577</t>
        </is>
      </c>
      <c r="E12" t="inlineStr">
        <is>
          <t>1988-02-14</t>
        </is>
      </c>
      <c r="F12" t="inlineStr">
        <is>
          <t>Backend Dev</t>
        </is>
      </c>
      <c r="G12" t="inlineStr">
        <is>
          <t>Tech</t>
        </is>
      </c>
      <c r="H12" t="inlineStr">
        <is>
          <t>Іван Гнатюк</t>
        </is>
      </c>
      <c r="I12" t="inlineStr">
        <is>
          <t>2020-01-15</t>
        </is>
      </c>
      <c r="J12" t="inlineStr">
        <is>
          <t>2020-02-15</t>
        </is>
      </c>
      <c r="K12" t="inlineStr">
        <is>
          <t>Звільнено</t>
        </is>
      </c>
      <c r="L12" t="inlineStr">
        <is>
          <t>2026-04-01</t>
        </is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/>
      <c r="S12" t="inlineStr">
        <is>
          <t>Релокація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ПІБ</t>
        </is>
      </c>
      <c r="C1" s="1" t="inlineStr">
        <is>
          <t>Дата</t>
        </is>
      </c>
      <c r="D1" s="1" t="inlineStr">
        <is>
          <t>Що змінилось</t>
        </is>
      </c>
      <c r="E1" s="1" t="inlineStr">
        <is>
          <t>Від</t>
        </is>
      </c>
      <c r="F1" s="1" t="inlineStr">
        <is>
          <t>До</t>
        </is>
      </c>
      <c r="G1" s="1" t="inlineStr">
        <is>
          <t>Причина</t>
        </is>
      </c>
    </row>
    <row r="2">
      <c r="A2" t="n">
        <v>1</v>
      </c>
      <c r="B2" t="inlineStr">
        <is>
          <t>Іван Гнатюк</t>
        </is>
      </c>
      <c r="C2" t="inlineStr">
        <is>
          <t>2024-06-03</t>
        </is>
      </c>
      <c r="D2" t="inlineStr">
        <is>
          <t>Посада</t>
        </is>
      </c>
      <c r="E2" t="inlineStr">
        <is>
          <t>Senior Dev</t>
        </is>
      </c>
      <c r="F2" t="inlineStr">
        <is>
          <t>Tech Lead</t>
        </is>
      </c>
      <c r="G2" t="inlineStr">
        <is>
          <t>Promotion</t>
        </is>
      </c>
    </row>
    <row r="3">
      <c r="A3" t="n">
        <v>1</v>
      </c>
      <c r="B3" t="inlineStr">
        <is>
          <t>Іван Гнатюк</t>
        </is>
      </c>
      <c r="C3" t="inlineStr">
        <is>
          <t>2024-06-03</t>
        </is>
      </c>
      <c r="D3" t="inlineStr">
        <is>
          <t>ЗП</t>
        </is>
      </c>
      <c r="E3" t="inlineStr">
        <is>
          <t>65000</t>
        </is>
      </c>
      <c r="F3" t="inlineStr">
        <is>
          <t>80000</t>
        </is>
      </c>
      <c r="G3" t="inlineStr">
        <is>
          <t>Promotion</t>
        </is>
      </c>
    </row>
    <row r="4">
      <c r="A4" t="n">
        <v>2</v>
      </c>
      <c r="B4" t="inlineStr">
        <is>
          <t>Аліна Шевченко</t>
        </is>
      </c>
      <c r="C4" t="inlineStr">
        <is>
          <t>2024-06-10</t>
        </is>
      </c>
      <c r="D4" t="inlineStr">
        <is>
          <t>ЗП</t>
        </is>
      </c>
      <c r="E4" t="inlineStr">
        <is>
          <t>60000</t>
        </is>
      </c>
      <c r="F4" t="inlineStr">
        <is>
          <t>85000</t>
        </is>
      </c>
      <c r="G4" t="inlineStr">
        <is>
          <t>Performance increase</t>
        </is>
      </c>
    </row>
    <row r="5">
      <c r="A5" t="n">
        <v>2</v>
      </c>
      <c r="B5" t="inlineStr">
        <is>
          <t>Аліна Шевченко</t>
        </is>
      </c>
      <c r="C5" t="inlineStr">
        <is>
          <t>2024-06-10</t>
        </is>
      </c>
      <c r="D5" t="inlineStr">
        <is>
          <t>KPI %</t>
        </is>
      </c>
      <c r="E5" t="inlineStr">
        <is>
          <t>12</t>
        </is>
      </c>
      <c r="F5" t="inlineStr">
        <is>
          <t>15</t>
        </is>
      </c>
      <c r="G5" t="inlineStr">
        <is>
          <t>Performance increase</t>
        </is>
      </c>
    </row>
    <row r="6">
      <c r="A6" t="n">
        <v>9</v>
      </c>
      <c r="B6" t="inlineStr">
        <is>
          <t>Катерина Ліщук</t>
        </is>
      </c>
      <c r="C6" t="inlineStr">
        <is>
          <t>2024-03-01</t>
        </is>
      </c>
      <c r="D6" t="inlineStr">
        <is>
          <t>ЗП</t>
        </is>
      </c>
      <c r="E6" t="inlineStr">
        <is>
          <t>55000</t>
        </is>
      </c>
      <c r="F6" t="inlineStr">
        <is>
          <t>65000</t>
        </is>
      </c>
      <c r="G6" t="inlineStr">
        <is>
          <t>Promotion</t>
        </is>
      </c>
    </row>
    <row r="7">
      <c r="A7" t="n">
        <v>9</v>
      </c>
      <c r="B7" t="inlineStr">
        <is>
          <t>Катерина Ліщук</t>
        </is>
      </c>
      <c r="C7" t="inlineStr">
        <is>
          <t>2024-03-01</t>
        </is>
      </c>
      <c r="D7" t="inlineStr">
        <is>
          <t>Посада</t>
        </is>
      </c>
      <c r="E7" t="inlineStr">
        <is>
          <t>Junior Backend</t>
        </is>
      </c>
      <c r="F7" t="inlineStr">
        <is>
          <t>Middle Backend</t>
        </is>
      </c>
      <c r="G7" t="inlineStr">
        <is>
          <t>Promotion</t>
        </is>
      </c>
    </row>
    <row r="8">
      <c r="A8" t="n">
        <v>9</v>
      </c>
      <c r="B8" t="inlineStr">
        <is>
          <t>Катерина Ліщук</t>
        </is>
      </c>
      <c r="C8" t="inlineStr">
        <is>
          <t>2024-03-01</t>
        </is>
      </c>
      <c r="D8" t="inlineStr">
        <is>
          <t>KPI %</t>
        </is>
      </c>
      <c r="E8" t="inlineStr">
        <is>
          <t>10</t>
        </is>
      </c>
      <c r="F8" t="inlineStr">
        <is>
          <t>15</t>
        </is>
      </c>
      <c r="G8" t="inlineStr">
        <is>
          <t>Promotion</t>
        </is>
      </c>
    </row>
    <row r="9">
      <c r="A9" t="n">
        <v>10</v>
      </c>
      <c r="B9" t="inlineStr">
        <is>
          <t>Богдан Лук'яненко</t>
        </is>
      </c>
      <c r="C9" t="inlineStr">
        <is>
          <t>2024-10-01</t>
        </is>
      </c>
      <c r="D9" t="inlineStr">
        <is>
          <t>ЗП</t>
        </is>
      </c>
      <c r="E9" t="inlineStr">
        <is>
          <t>65000</t>
        </is>
      </c>
      <c r="F9" t="inlineStr">
        <is>
          <t>70000</t>
        </is>
      </c>
      <c r="G9" t="inlineStr">
        <is>
          <t>Anniversary raise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ПІБ</t>
        </is>
      </c>
      <c r="C1" s="1" t="inlineStr">
        <is>
          <t>Дата</t>
        </is>
      </c>
      <c r="D1" s="1" t="inlineStr">
        <is>
          <t>Базова ЗП</t>
        </is>
      </c>
      <c r="E1" s="1" t="inlineStr">
        <is>
          <t>KPI %</t>
        </is>
      </c>
      <c r="F1" s="1" t="inlineStr">
        <is>
          <t>Всього (ЗП+KPI)</t>
        </is>
      </c>
      <c r="G1" s="1" t="inlineStr">
        <is>
          <t>Причина зміни</t>
        </is>
      </c>
    </row>
    <row r="2">
      <c r="A2" t="n">
        <v>1</v>
      </c>
      <c r="B2" t="inlineStr">
        <is>
          <t>Іван Гнатюк</t>
        </is>
      </c>
      <c r="C2" t="inlineStr">
        <is>
          <t>2021-06-03</t>
        </is>
      </c>
      <c r="D2" t="n">
        <v>65000</v>
      </c>
      <c r="E2" t="n">
        <v>12</v>
      </c>
      <c r="F2" t="n">
        <v>77000</v>
      </c>
      <c r="G2" t="inlineStr">
        <is>
          <t>Start</t>
        </is>
      </c>
    </row>
    <row r="3">
      <c r="A3" t="n">
        <v>1</v>
      </c>
      <c r="B3" t="inlineStr">
        <is>
          <t>Іван Гнатюк</t>
        </is>
      </c>
      <c r="C3" t="inlineStr">
        <is>
          <t>2024-06-03</t>
        </is>
      </c>
      <c r="D3" t="n">
        <v>80000</v>
      </c>
      <c r="E3" t="n">
        <v>20</v>
      </c>
      <c r="F3" t="n">
        <v>100000</v>
      </c>
      <c r="G3" t="inlineStr">
        <is>
          <t>Promotion</t>
        </is>
      </c>
    </row>
    <row r="4">
      <c r="A4" t="n">
        <v>2</v>
      </c>
      <c r="B4" t="inlineStr">
        <is>
          <t>Аліна Шевченко</t>
        </is>
      </c>
      <c r="C4" t="inlineStr">
        <is>
          <t>2023-06-10</t>
        </is>
      </c>
      <c r="D4" t="n">
        <v>60000</v>
      </c>
      <c r="E4" t="n">
        <v>12</v>
      </c>
      <c r="F4" t="n">
        <v>72000</v>
      </c>
      <c r="G4" t="inlineStr">
        <is>
          <t>Start</t>
        </is>
      </c>
    </row>
    <row r="5">
      <c r="A5" t="n">
        <v>2</v>
      </c>
      <c r="B5" t="inlineStr">
        <is>
          <t>Аліна Шевченко</t>
        </is>
      </c>
      <c r="C5" t="inlineStr">
        <is>
          <t>2024-06-10</t>
        </is>
      </c>
      <c r="D5" t="n">
        <v>85000</v>
      </c>
      <c r="E5" t="n">
        <v>15</v>
      </c>
      <c r="F5" t="n">
        <v>100000</v>
      </c>
      <c r="G5" t="inlineStr">
        <is>
          <t>Performance increase</t>
        </is>
      </c>
    </row>
    <row r="6">
      <c r="A6" t="n">
        <v>3</v>
      </c>
      <c r="B6" t="inlineStr">
        <is>
          <t>Наталя Бондар</t>
        </is>
      </c>
      <c r="C6" t="inlineStr">
        <is>
          <t>2025-06-15</t>
        </is>
      </c>
      <c r="D6" t="n">
        <v>55000</v>
      </c>
      <c r="E6" t="n">
        <v>10</v>
      </c>
      <c r="F6" t="n">
        <v>65000</v>
      </c>
      <c r="G6" t="inlineStr">
        <is>
          <t>Start</t>
        </is>
      </c>
    </row>
    <row r="7">
      <c r="A7" t="n">
        <v>4</v>
      </c>
      <c r="B7" t="inlineStr">
        <is>
          <t>Олена Приходько</t>
        </is>
      </c>
      <c r="C7" t="inlineStr">
        <is>
          <t>2025-12-27</t>
        </is>
      </c>
      <c r="D7" t="n">
        <v>25000</v>
      </c>
      <c r="E7" t="n">
        <v>0</v>
      </c>
      <c r="F7" t="n">
        <v>25000</v>
      </c>
      <c r="G7" t="inlineStr">
        <is>
          <t>Intern start</t>
        </is>
      </c>
    </row>
    <row r="8">
      <c r="A8" t="n">
        <v>4</v>
      </c>
      <c r="B8" t="inlineStr">
        <is>
          <t>Олена Приходько</t>
        </is>
      </c>
      <c r="C8" t="inlineStr">
        <is>
          <t>2026-01-27</t>
        </is>
      </c>
      <c r="D8" t="n">
        <v>28000</v>
      </c>
      <c r="E8" t="n">
        <v>0</v>
      </c>
      <c r="F8" t="n">
        <v>28000</v>
      </c>
      <c r="G8" t="inlineStr">
        <is>
          <t>Probation end</t>
        </is>
      </c>
    </row>
    <row r="9">
      <c r="A9" t="n">
        <v>9</v>
      </c>
      <c r="B9" t="inlineStr">
        <is>
          <t>Катерина Ліщук</t>
        </is>
      </c>
      <c r="C9" t="inlineStr">
        <is>
          <t>2023-03-01</t>
        </is>
      </c>
      <c r="D9" t="n">
        <v>55000</v>
      </c>
      <c r="E9" t="n">
        <v>10</v>
      </c>
      <c r="F9" t="n">
        <v>65000</v>
      </c>
      <c r="G9" t="inlineStr">
        <is>
          <t>Start</t>
        </is>
      </c>
    </row>
    <row r="10">
      <c r="A10" t="n">
        <v>9</v>
      </c>
      <c r="B10" t="inlineStr">
        <is>
          <t>Катерина Ліщук</t>
        </is>
      </c>
      <c r="C10" t="inlineStr">
        <is>
          <t>2024-03-01</t>
        </is>
      </c>
      <c r="D10" t="n">
        <v>65000</v>
      </c>
      <c r="E10" t="n">
        <v>15</v>
      </c>
      <c r="F10" t="n">
        <v>80000</v>
      </c>
      <c r="G10" t="inlineStr">
        <is>
          <t>Promotion</t>
        </is>
      </c>
    </row>
    <row r="11">
      <c r="A11" t="n">
        <v>10</v>
      </c>
      <c r="B11" t="inlineStr">
        <is>
          <t>Богдан Лук'яненко</t>
        </is>
      </c>
      <c r="C11" t="inlineStr">
        <is>
          <t>2020-10-01</t>
        </is>
      </c>
      <c r="D11" t="n">
        <v>65000</v>
      </c>
      <c r="E11" t="n">
        <v>12</v>
      </c>
      <c r="F11" t="n">
        <v>77000</v>
      </c>
      <c r="G11" t="inlineStr">
        <is>
          <t>Start</t>
        </is>
      </c>
    </row>
    <row r="12">
      <c r="A12" t="n">
        <v>10</v>
      </c>
      <c r="B12" t="inlineStr">
        <is>
          <t>Богдан Лук'яненко</t>
        </is>
      </c>
      <c r="C12" t="inlineStr">
        <is>
          <t>2024-10-01</t>
        </is>
      </c>
      <c r="D12" t="n">
        <v>70000</v>
      </c>
      <c r="E12" t="n">
        <v>15</v>
      </c>
      <c r="F12" t="n">
        <v>85000</v>
      </c>
      <c r="G12" t="inlineStr">
        <is>
          <t>Anniversary raise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ПІБ</t>
        </is>
      </c>
      <c r="C1" s="1" t="inlineStr">
        <is>
          <t>Дата звільнення</t>
        </is>
      </c>
      <c r="D1" s="1" t="inlineStr">
        <is>
          <t>Причина звільнення</t>
        </is>
      </c>
      <c r="E1" s="1" t="inlineStr">
        <is>
          <t>Де тепер</t>
        </is>
      </c>
      <c r="F1" s="1" t="inlineStr">
        <is>
          <t>Контакт підтримувати</t>
        </is>
      </c>
      <c r="G1" s="1" t="inlineStr">
        <is>
          <t>Коментар</t>
        </is>
      </c>
    </row>
    <row r="2">
      <c r="A2" t="n">
        <v>11</v>
      </c>
      <c r="B2" t="inlineStr">
        <is>
          <t>Сергій Ткач</t>
        </is>
      </c>
      <c r="C2" t="inlineStr">
        <is>
          <t>2026-04-01</t>
        </is>
      </c>
      <c r="D2" t="inlineStr">
        <is>
          <t>Релокація</t>
        </is>
      </c>
      <c r="E2" t="inlineStr">
        <is>
          <t>Unknown</t>
        </is>
      </c>
      <c r="F2" t="inlineStr">
        <is>
          <t>Yes</t>
        </is>
      </c>
      <c r="G2" t="inlineStr">
        <is>
          <t>Добрий фахівець, можна запросити назад</t>
        </is>
      </c>
    </row>
    <row r="3">
      <c r="A3" t="n">
        <v>12</v>
      </c>
      <c r="B3" t="inlineStr">
        <is>
          <t>Олег Бабенко</t>
        </is>
      </c>
      <c r="C3" t="inlineStr">
        <is>
          <t>2025-11-10</t>
        </is>
      </c>
      <c r="D3" t="inlineStr">
        <is>
          <t>Власний проект</t>
        </is>
      </c>
      <c r="E3" t="inlineStr">
        <is>
          <t>Freelancer</t>
        </is>
      </c>
      <c r="F3" t="inlineStr">
        <is>
          <t>Yes</t>
        </is>
      </c>
      <c r="G3" t="inlineStr">
        <is>
          <t>Хороші відносини, можна залучати на проекти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ID</t>
        </is>
      </c>
      <c r="B1" s="1" t="inlineStr">
        <is>
          <t>Назва вакансії</t>
        </is>
      </c>
      <c r="C1" s="1" t="inlineStr">
        <is>
          <t>Керівник</t>
        </is>
      </c>
      <c r="D1" s="1" t="inlineStr">
        <is>
          <t>Дата відкриття</t>
        </is>
      </c>
      <c r="E1" s="1" t="inlineStr">
        <is>
          <t>Дата закриття</t>
        </is>
      </c>
      <c r="F1" s="1" t="inlineStr">
        <is>
          <t>Статус</t>
        </is>
      </c>
      <c r="G1" s="1" t="inlineStr">
        <is>
          <t>Всього відгуків</t>
        </is>
      </c>
      <c r="H1" s="1" t="inlineStr">
        <is>
          <t>Скринінг HR</t>
        </is>
      </c>
      <c r="I1" s="1" t="inlineStr">
        <is>
          <t>Співбесіда HR</t>
        </is>
      </c>
      <c r="J1" s="1" t="inlineStr">
        <is>
          <t>Тестове завдання</t>
        </is>
      </c>
      <c r="K1" s="1" t="inlineStr">
        <is>
          <t>Співбесіда керівника</t>
        </is>
      </c>
      <c r="L1" s="1" t="inlineStr">
        <is>
          <t>Прийняті</t>
        </is>
      </c>
      <c r="M1" s="1" t="inlineStr">
        <is>
          <t>Ціна закриття (введи вручну)</t>
        </is>
      </c>
      <c r="N1" s="1" t="inlineStr">
        <is>
          <t>Дні відкрита</t>
        </is>
      </c>
      <c r="O1" s="1" t="inlineStr">
        <is>
          <t>Конверсія 1→2 (%)</t>
        </is>
      </c>
      <c r="P1" s="1" t="inlineStr">
        <is>
          <t>Конверсія 2→3 (%)</t>
        </is>
      </c>
      <c r="Q1" s="1" t="inlineStr">
        <is>
          <t>Конверсія 3→4 (%)</t>
        </is>
      </c>
      <c r="R1" s="1" t="inlineStr">
        <is>
          <t>Конверсія 4→5 (%)</t>
        </is>
      </c>
    </row>
    <row r="2">
      <c r="A2" t="n">
        <v>1</v>
      </c>
      <c r="B2" t="inlineStr">
        <is>
          <t>Senior Backend Engineer</t>
        </is>
      </c>
      <c r="C2" t="inlineStr">
        <is>
          <t>Іван Гнатюк</t>
        </is>
      </c>
      <c r="D2" t="inlineStr">
        <is>
          <t>2025-10-15</t>
        </is>
      </c>
      <c r="E2" t="inlineStr">
        <is>
          <t>2026-03-20</t>
        </is>
      </c>
      <c r="F2" t="inlineStr">
        <is>
          <t>Закрита</t>
        </is>
      </c>
      <c r="G2" t="n">
        <v>24</v>
      </c>
      <c r="H2" t="n">
        <v>12</v>
      </c>
      <c r="I2" t="n">
        <v>7</v>
      </c>
      <c r="J2" t="n">
        <v>4</v>
      </c>
      <c r="K2" t="n">
        <v>2</v>
      </c>
      <c r="L2" t="n">
        <v>1</v>
      </c>
      <c r="M2" t="inlineStr"/>
      <c r="N2" s="2">
        <f>IF(E2="",TODAY()-D2,E2-D2)</f>
        <v/>
      </c>
      <c r="O2" s="2">
        <f>IF(G2=0,0,ROUND(H2/G2*100,1))</f>
        <v/>
      </c>
      <c r="P2" s="2">
        <f>IF(H2=0,0,ROUND(I2/H2*100,1))</f>
        <v/>
      </c>
      <c r="Q2" s="2">
        <f>IF(I2=0,0,ROUND(J2/I2*100,1))</f>
        <v/>
      </c>
      <c r="R2" s="2">
        <f>IF(J2=0,0,ROUND(K2/J2*100,1))</f>
        <v/>
      </c>
    </row>
    <row r="3">
      <c r="A3" t="n">
        <v>2</v>
      </c>
      <c r="B3" t="inlineStr">
        <is>
          <t>QA Engineer</t>
        </is>
      </c>
      <c r="C3" t="inlineStr">
        <is>
          <t>Богдан Лук'яненко</t>
        </is>
      </c>
      <c r="D3" t="inlineStr">
        <is>
          <t>2026-02-01</t>
        </is>
      </c>
      <c r="E3" t="inlineStr"/>
      <c r="F3" t="inlineStr">
        <is>
          <t>Відкрита</t>
        </is>
      </c>
      <c r="G3" t="n">
        <v>8</v>
      </c>
      <c r="H3" t="n">
        <v>5</v>
      </c>
      <c r="I3" t="n">
        <v>3</v>
      </c>
      <c r="J3" t="n">
        <v>2</v>
      </c>
      <c r="K3" t="n">
        <v>1</v>
      </c>
      <c r="L3" t="n">
        <v>0</v>
      </c>
      <c r="M3" t="inlineStr"/>
      <c r="N3" s="2">
        <f>IF(E3="",TODAY()-D3,E3-D3)</f>
        <v/>
      </c>
      <c r="O3" s="2">
        <f>IF(G3=0,0,ROUND(H3/G3*100,1))</f>
        <v/>
      </c>
      <c r="P3" s="2">
        <f>IF(H3=0,0,ROUND(I3/H3*100,1))</f>
        <v/>
      </c>
      <c r="Q3" s="2">
        <f>IF(I3=0,0,ROUND(J3/I3*100,1))</f>
        <v/>
      </c>
      <c r="R3" s="2">
        <f>IF(J3=0,0,ROUND(K3/J3*100,1))</f>
        <v/>
      </c>
    </row>
    <row r="4">
      <c r="A4" t="n">
        <v>3</v>
      </c>
      <c r="B4" t="inlineStr">
        <is>
          <t>Product Designer</t>
        </is>
      </c>
      <c r="C4" t="inlineStr">
        <is>
          <t>Аліна Шевченко</t>
        </is>
      </c>
      <c r="D4" t="inlineStr">
        <is>
          <t>2026-03-10</t>
        </is>
      </c>
      <c r="E4" t="inlineStr"/>
      <c r="F4" t="inlineStr">
        <is>
          <t>Резерв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s="2">
        <f>IF(E4="",TODAY()-D4,E4-D4)</f>
        <v/>
      </c>
      <c r="O4" s="2">
        <f>IF(G4=0,0,ROUND(H4/G4*100,1))</f>
        <v/>
      </c>
      <c r="P4" s="2">
        <f>IF(H4=0,0,ROUND(I4/H4*100,1))</f>
        <v/>
      </c>
      <c r="Q4" s="2">
        <f>IF(I4=0,0,ROUND(J4/I4*100,1))</f>
        <v/>
      </c>
      <c r="R4" s="2">
        <f>IF(J4=0,0,ROUND(K4/J4*100,1))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3" t="inlineStr">
        <is>
          <t>ОГЛЯД КОМАНДИ</t>
        </is>
      </c>
    </row>
    <row r="3">
      <c r="A3" s="4" t="inlineStr">
        <is>
          <t>КОМАНДА</t>
        </is>
      </c>
    </row>
    <row r="4">
      <c r="A4" t="inlineStr">
        <is>
          <t>Всього співробітників</t>
        </is>
      </c>
      <c r="B4" s="2">
        <f>=COUNTIF(Люди!K:K,"Працює")+COUNTIF(Люди!K:K,"Випробуванн")</f>
        <v/>
      </c>
    </row>
    <row r="5">
      <c r="A5" t="inlineStr">
        <is>
          <t>Нових за період</t>
        </is>
      </c>
      <c r="B5" s="2">
        <f>=COUNTIFS(Люди!I:I,"&gt;="&amp;DATE(2026,1,1),Люди!K:K,"Працює")</f>
        <v/>
      </c>
    </row>
    <row r="6">
      <c r="A6" t="inlineStr">
        <is>
          <t>Звільнених за період</t>
        </is>
      </c>
      <c r="B6" s="2">
        <f>=COUNTIFS(Люди!L:L,"&gt;="&amp;DATE(2026,1,1),Люди!K:K,"Звільнено")</f>
        <v/>
      </c>
    </row>
    <row r="7">
      <c r="A7" t="inlineStr">
        <is>
          <t>Плинність кадрів (%) за 12м</t>
        </is>
      </c>
      <c r="B7" s="2">
        <f>=IF(COUNTIF(Люди!K:K,"Працює")+COUNTIF(Люди!K:K,"Випробуванн")=0,0,ROUND(COUNTIF(Retention!A:A,"&gt;0")/(COUNTIF(Люди!K:K,"Працює")+COUNTIF(Люди!K:K,"Випробуванн"))*100,1))</f>
        <v/>
      </c>
    </row>
    <row r="8">
      <c r="A8" t="inlineStr">
        <is>
          <t>На випробуванні</t>
        </is>
      </c>
      <c r="B8" s="2">
        <f>=COUNTIF(Люди!K:K,"Випробуванн")</f>
        <v/>
      </c>
    </row>
    <row r="9">
      <c r="A9" t="inlineStr">
        <is>
          <t>Закінчується випробування через 7 днів</t>
        </is>
      </c>
      <c r="B9" s="2">
        <f>=SUMPRODUCT((Люди!J2:J100&lt;&gt;"")*((Люди!J2:J100-TODAY())&lt;=7)*((Люди!J2:J100-TODAY())&gt;=0))</f>
        <v/>
      </c>
    </row>
    <row r="11">
      <c r="A11" s="4" t="inlineStr">
        <is>
          <t>ВИТРАТИ</t>
        </is>
      </c>
    </row>
    <row r="12">
      <c r="A12" t="inlineStr">
        <is>
          <t>ФОП цього місяця</t>
        </is>
      </c>
      <c r="B12" s="5">
        <f>=SUMIFS(Люди!M:M,Люди!K:K,"Працює")+SUMIFS(Люди!N:N,Люди!K:K,"Працює")</f>
        <v/>
      </c>
    </row>
    <row r="14">
      <c r="A14" s="4" t="inlineStr">
        <is>
          <t>РЕКРУТИНГ</t>
        </is>
      </c>
    </row>
    <row r="15">
      <c r="A15" t="inlineStr">
        <is>
          <t>Відкриті вакансії</t>
        </is>
      </c>
      <c r="B15" s="2">
        <f>=COUNTIFS(Вакансії!F:F,"Відкрита")</f>
        <v/>
      </c>
    </row>
    <row r="16">
      <c r="A16" t="inlineStr">
        <is>
          <t>Резервні вакансії</t>
        </is>
      </c>
      <c r="B16" s="2">
        <f>=COUNTIFS(Вакансії!F:F,"Резерв")</f>
        <v/>
      </c>
    </row>
    <row r="17">
      <c r="A17" t="inlineStr">
        <is>
          <t>Найнято за період</t>
        </is>
      </c>
      <c r="B17" s="2">
        <f>=COUNTIFS(Люди!I:I,"&gt;="&amp;DATE(2026,1,1),Люди!K:K,"Працює")</f>
        <v/>
      </c>
    </row>
  </sheetData>
  <mergeCells count="3">
    <mergeCell ref="A14:B14"/>
    <mergeCell ref="A3:B3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2026-06-19T19:54:27Z</dcterms:created>
  <dcterms:modified xmlns:dcterms="http://purl.org/dc/terms/" xmlns:xsi="http://www.w3.org/2001/XMLSchema-instance" xsi:type="dcterms:W3CDTF">2026-06-19T19:54:27Z</dcterms:modified>
</cp:coreProperties>
</file>